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acdfbafc03fcb3bc/Documents/"/>
    </mc:Choice>
  </mc:AlternateContent>
  <xr:revisionPtr revIDLastSave="0" documentId="8_{EBBFD66A-A31D-40E8-9AA0-8F4920D0FF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rtada" sheetId="9" r:id="rId1"/>
    <sheet name="Inversión Inicial" sheetId="1" r:id="rId2"/>
    <sheet name="Costos Fijos" sheetId="3" r:id="rId3"/>
    <sheet name="Costos Variables" sheetId="4" r:id="rId4"/>
    <sheet name="Proyección Ingresos" sheetId="2" r:id="rId5"/>
    <sheet name="Punto de Equilibrio" sheetId="6" r:id="rId6"/>
    <sheet name="Estado de Resultados" sheetId="7" r:id="rId7"/>
    <sheet name="Flujo de Caja" sheetId="5" r:id="rId8"/>
    <sheet name="Indicadores de Rentabilidad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4" i="2" l="1"/>
  <c r="D11" i="2"/>
  <c r="D10" i="2"/>
  <c r="D9" i="2"/>
  <c r="D8" i="2"/>
  <c r="D7" i="2"/>
  <c r="D6" i="2"/>
  <c r="D5" i="2"/>
  <c r="D4" i="2"/>
  <c r="D3" i="2"/>
  <c r="D2" i="2"/>
  <c r="B3" i="8"/>
  <c r="B4" i="8"/>
  <c r="B2" i="8"/>
  <c r="C23" i="1"/>
  <c r="B23" i="1"/>
  <c r="D13" i="1"/>
  <c r="B11" i="4"/>
  <c r="B7" i="6" s="1"/>
  <c r="D3" i="1"/>
  <c r="D4" i="1"/>
  <c r="D5" i="1"/>
  <c r="D6" i="1"/>
  <c r="D7" i="1"/>
  <c r="D8" i="1"/>
  <c r="D9" i="1"/>
  <c r="D10" i="1"/>
  <c r="D11" i="1"/>
  <c r="D12" i="1"/>
  <c r="B12" i="3"/>
  <c r="B6" i="6" s="1"/>
  <c r="C5" i="5"/>
  <c r="D23" i="1" l="1"/>
  <c r="B8" i="6"/>
  <c r="D7" i="7"/>
  <c r="D5" i="7"/>
  <c r="C7" i="7"/>
  <c r="C5" i="7"/>
  <c r="B7" i="7"/>
  <c r="B5" i="7"/>
  <c r="D8" i="5"/>
  <c r="D5" i="5"/>
  <c r="B8" i="5"/>
  <c r="B5" i="5"/>
  <c r="C8" i="5"/>
  <c r="B15" i="6" l="1"/>
  <c r="B9" i="5"/>
  <c r="C9" i="5" s="1"/>
  <c r="D9" i="5" s="1"/>
  <c r="B5" i="6"/>
  <c r="B16" i="6" s="1"/>
  <c r="B9" i="6" l="1"/>
  <c r="B11" i="6" s="1"/>
  <c r="B17" i="6"/>
</calcChain>
</file>

<file path=xl/sharedStrings.xml><?xml version="1.0" encoding="utf-8"?>
<sst xmlns="http://schemas.openxmlformats.org/spreadsheetml/2006/main" count="122" uniqueCount="114">
  <si>
    <t>Total ingresos</t>
  </si>
  <si>
    <t>TOTAL</t>
  </si>
  <si>
    <t>TOTAL VENTAS</t>
  </si>
  <si>
    <t>Efectivo inicial</t>
  </si>
  <si>
    <t>Ingresos por ventas</t>
  </si>
  <si>
    <t>Costos variables</t>
  </si>
  <si>
    <t>Costos fijos</t>
  </si>
  <si>
    <t>Total egresos</t>
  </si>
  <si>
    <t>Saldo final (cierre)</t>
  </si>
  <si>
    <t>CONCEPTO</t>
  </si>
  <si>
    <t>(-) Costos variables</t>
  </si>
  <si>
    <t>(=) Margen bruto</t>
  </si>
  <si>
    <t>(-) Costos fijos</t>
  </si>
  <si>
    <t>(=) Utilidad neta</t>
  </si>
  <si>
    <t>ROI (%)</t>
  </si>
  <si>
    <t>Margen de utilidad neta (%)</t>
  </si>
  <si>
    <t>Utilidad neta / Ingresos * 100</t>
  </si>
  <si>
    <t>Periodo de recuperación (meses)</t>
  </si>
  <si>
    <t>Inversión inicial / Utilidad mensual</t>
  </si>
  <si>
    <t>FUENTES DE FINANCIAMIENTO:</t>
  </si>
  <si>
    <t>3 meses</t>
  </si>
  <si>
    <t xml:space="preserve">TOTAL DE INGRESOS </t>
  </si>
  <si>
    <t>COSTOS VARIABLES</t>
  </si>
  <si>
    <t>COSTOS FIJOS</t>
  </si>
  <si>
    <t xml:space="preserve">TOTAL DE COSTOS </t>
  </si>
  <si>
    <t xml:space="preserve">UTILIDAD BRUTA </t>
  </si>
  <si>
    <t xml:space="preserve">COSTOS FINANCIEROS </t>
  </si>
  <si>
    <t>INGRESO NETO</t>
  </si>
  <si>
    <t>PUNTO DE EQUILIBRIO</t>
  </si>
  <si>
    <t xml:space="preserve">COSTOS TOTALES </t>
  </si>
  <si>
    <t xml:space="preserve">INGRESOS TOTALES </t>
  </si>
  <si>
    <t xml:space="preserve">TECNOLOGIA GUIANZA TURISTICA </t>
  </si>
  <si>
    <t>FICHA 3387683</t>
  </si>
  <si>
    <t>JORGE ANDRES HINCAPIE FRANCO</t>
  </si>
  <si>
    <t>APRENDIZ</t>
  </si>
  <si>
    <t>INSTRUCTOR</t>
  </si>
  <si>
    <t>CENTRO PECUARIO Y AGROEMPRESARIAL LA DORADA</t>
  </si>
  <si>
    <t>REGIONAL CALDAS</t>
  </si>
  <si>
    <t>EVIDENCIA GA7-240201529-AA3-EV01 PLAN DE EMPRENDIMIENTO</t>
  </si>
  <si>
    <t>TIERRA NATIVA HOSPEDAJE RURAL</t>
  </si>
  <si>
    <t xml:space="preserve"> </t>
  </si>
  <si>
    <t>Imprevistos</t>
  </si>
  <si>
    <t>Credito de $12.000.000 para la inversion Inicial a una tasa de 1.5% mes vencido</t>
  </si>
  <si>
    <t>Tabla de Amortizacion a 60 meses con un total a pagar de $17.979.420</t>
  </si>
  <si>
    <t>Agosto</t>
  </si>
  <si>
    <t>Septiembre</t>
  </si>
  <si>
    <t>Octubre</t>
  </si>
  <si>
    <t>Prestamo Bancario por valor de $12.000.000 y efectivo de propios recursos por un valor de $500.000</t>
  </si>
  <si>
    <t>Utilidad neta x 3 meses  / Inversión inicial * 100</t>
  </si>
  <si>
    <t>Esto indica que por cada peso invertido de los $12.5000.00 se obtiene un rendimiento de casi 15 centavos en un periodo de tres meses</t>
  </si>
  <si>
    <t>Esto Indica que por cada $100 que se percibe por el servicio de hospedaje se obtiene un beneficio libre de casi 14%</t>
  </si>
  <si>
    <t>ROI RETORNO DE LA INVERSION</t>
  </si>
  <si>
    <t>MARGEN DE UTILIDAD NETA</t>
  </si>
  <si>
    <t>Esto indica que de acuerdo al comportamiento de los ingresos por le sericio de alojamiento se requieren cercab de 10 meses para recuperar la inversion inicial</t>
  </si>
  <si>
    <t>PERIODO DE TIEMPO PARA LA RECUPERACION DE LA INVERSION</t>
  </si>
  <si>
    <t>Reconexion autentica para los viajeros apoyando el Desarrollo Social y ambiental</t>
  </si>
  <si>
    <t>en la comunidad de la vereda el Japon de la Dorada Caldas?.</t>
  </si>
  <si>
    <t xml:space="preserve">¿Cómo puede un hospedaje rural transformarse en un refugio de bienestar y </t>
  </si>
  <si>
    <t xml:space="preserve">PREGUNTA PROBLEMATIZADORA PARA EL EMPRENDIMIENTO DE HOSPEDAJE RURAL </t>
  </si>
  <si>
    <t>CANTIDAD</t>
  </si>
  <si>
    <t>VALOR UNITARIO</t>
  </si>
  <si>
    <t>VALOR TOTAL</t>
  </si>
  <si>
    <t>VALOR MENSUAL</t>
  </si>
  <si>
    <t>AGOSTO</t>
  </si>
  <si>
    <t>SEPTIEMBRE</t>
  </si>
  <si>
    <t>OCTUBRE</t>
  </si>
  <si>
    <t>CONCEPTO MES</t>
  </si>
  <si>
    <t>INDICADOR</t>
  </si>
  <si>
    <t>FORMULA</t>
  </si>
  <si>
    <t>RESULTADO</t>
  </si>
  <si>
    <t>NOTAS</t>
  </si>
  <si>
    <t>CARLOS ALBERTO OLAYA CARDONA</t>
  </si>
  <si>
    <t>Local Tienda de recuerdosa turistico</t>
  </si>
  <si>
    <t>Adecuacion del local</t>
  </si>
  <si>
    <t>Mostrador</t>
  </si>
  <si>
    <t>Vitrinas</t>
  </si>
  <si>
    <t>Estanterias</t>
  </si>
  <si>
    <t xml:space="preserve"> Computrador Dell</t>
  </si>
  <si>
    <t>Impresora</t>
  </si>
  <si>
    <t>Caja registradora</t>
  </si>
  <si>
    <t>Aire acondicionado</t>
  </si>
  <si>
    <t>Aviso luminoso</t>
  </si>
  <si>
    <t>Inventario inicial/Mercancia</t>
  </si>
  <si>
    <t>Capital de trabajo</t>
  </si>
  <si>
    <t>Decoracion Tematica</t>
  </si>
  <si>
    <t>Arriendo local</t>
  </si>
  <si>
    <t>Salario asesor</t>
  </si>
  <si>
    <t>Prestaciones sociales</t>
  </si>
  <si>
    <t xml:space="preserve"> Servicios publicos agua/energia</t>
  </si>
  <si>
    <t xml:space="preserve">Internet </t>
  </si>
  <si>
    <t>Publicidad en redes sociales</t>
  </si>
  <si>
    <t>Papeleria y suministros</t>
  </si>
  <si>
    <t>Mantenimiento y aseo</t>
  </si>
  <si>
    <t>Contador</t>
  </si>
  <si>
    <t>PRECIO DE VENTA</t>
  </si>
  <si>
    <t xml:space="preserve">CONCEPTO </t>
  </si>
  <si>
    <t>VALOR MENSUAL- APROX</t>
  </si>
  <si>
    <t>Compra de Souvenirs</t>
  </si>
  <si>
    <t xml:space="preserve">Bolsa y Empaques </t>
  </si>
  <si>
    <t>Transporte de Mercancia</t>
  </si>
  <si>
    <t xml:space="preserve">Etiquetas y material de Empaques </t>
  </si>
  <si>
    <t xml:space="preserve">Comisiones por pagos Electronicos </t>
  </si>
  <si>
    <t>PRODUCTOS</t>
  </si>
  <si>
    <t>CANTIDAD/MES</t>
  </si>
  <si>
    <t>Gorras</t>
  </si>
  <si>
    <t>Camisetas</t>
  </si>
  <si>
    <t xml:space="preserve">Llaveros </t>
  </si>
  <si>
    <t xml:space="preserve">Bolsas Ecologicas </t>
  </si>
  <si>
    <t>Mugs</t>
  </si>
  <si>
    <t>Peluches Magui</t>
  </si>
  <si>
    <t xml:space="preserve">Imanes </t>
  </si>
  <si>
    <t xml:space="preserve">Abanicos </t>
  </si>
  <si>
    <t xml:space="preserve">Postales/Personalizadas </t>
  </si>
  <si>
    <t>Libretas Ecologicas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</si>
</sst>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0.0%"/>
    <numFmt numFmtId="166" formatCode="_-&quot;$&quot;* #,##0_-;\-&quot;$&quot;* #,##0_-;_-&quot;$&quot;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92D05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4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64" fontId="3" fillId="0" borderId="1" xfId="1" applyNumberFormat="1" applyFont="1" applyBorder="1"/>
    <xf numFmtId="0" fontId="3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49" fontId="4" fillId="3" borderId="0" xfId="0" applyNumberFormat="1" applyFont="1" applyFill="1" applyAlignment="1">
      <alignment horizontal="center"/>
    </xf>
    <xf numFmtId="164" fontId="4" fillId="3" borderId="0" xfId="0" applyNumberFormat="1" applyFont="1" applyFill="1" applyAlignment="1">
      <alignment horizontal="center"/>
    </xf>
    <xf numFmtId="0" fontId="2" fillId="5" borderId="1" xfId="0" applyFont="1" applyFill="1" applyBorder="1" applyAlignment="1">
      <alignment horizontal="center" vertical="top"/>
    </xf>
    <xf numFmtId="166" fontId="3" fillId="0" borderId="1" xfId="1" applyNumberFormat="1" applyFont="1" applyBorder="1"/>
    <xf numFmtId="0" fontId="4" fillId="5" borderId="0" xfId="0" applyFont="1" applyFill="1" applyAlignment="1">
      <alignment horizontal="center"/>
    </xf>
    <xf numFmtId="164" fontId="4" fillId="5" borderId="0" xfId="0" applyNumberFormat="1" applyFont="1" applyFill="1" applyAlignment="1">
      <alignment horizontal="center"/>
    </xf>
    <xf numFmtId="0" fontId="3" fillId="0" borderId="13" xfId="0" applyFont="1" applyBorder="1"/>
    <xf numFmtId="0" fontId="4" fillId="6" borderId="1" xfId="0" applyFont="1" applyFill="1" applyBorder="1" applyAlignment="1">
      <alignment horizontal="center" vertical="top"/>
    </xf>
    <xf numFmtId="0" fontId="4" fillId="6" borderId="0" xfId="0" applyFont="1" applyFill="1" applyAlignment="1">
      <alignment horizontal="center"/>
    </xf>
    <xf numFmtId="164" fontId="4" fillId="6" borderId="0" xfId="0" applyNumberFormat="1" applyFont="1" applyFill="1"/>
    <xf numFmtId="1" fontId="3" fillId="0" borderId="1" xfId="1" applyNumberFormat="1" applyFont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164" fontId="4" fillId="7" borderId="1" xfId="0" applyNumberFormat="1" applyFont="1" applyFill="1" applyBorder="1"/>
    <xf numFmtId="0" fontId="4" fillId="0" borderId="1" xfId="0" applyFont="1" applyBorder="1"/>
    <xf numFmtId="164" fontId="4" fillId="0" borderId="1" xfId="1" applyNumberFormat="1" applyFont="1" applyBorder="1"/>
    <xf numFmtId="0" fontId="4" fillId="4" borderId="0" xfId="0" applyFont="1" applyFill="1"/>
    <xf numFmtId="164" fontId="4" fillId="0" borderId="1" xfId="0" applyNumberFormat="1" applyFont="1" applyBorder="1"/>
    <xf numFmtId="164" fontId="3" fillId="0" borderId="0" xfId="0" applyNumberFormat="1" applyFont="1"/>
    <xf numFmtId="0" fontId="4" fillId="0" borderId="0" xfId="0" applyFont="1"/>
    <xf numFmtId="9" fontId="4" fillId="0" borderId="0" xfId="2" applyFont="1"/>
    <xf numFmtId="164" fontId="5" fillId="2" borderId="1" xfId="1" applyNumberFormat="1" applyFont="1" applyFill="1" applyBorder="1"/>
    <xf numFmtId="0" fontId="4" fillId="8" borderId="1" xfId="0" applyFont="1" applyFill="1" applyBorder="1" applyAlignment="1">
      <alignment horizontal="center"/>
    </xf>
    <xf numFmtId="164" fontId="3" fillId="0" borderId="1" xfId="0" applyNumberFormat="1" applyFont="1" applyBorder="1"/>
    <xf numFmtId="0" fontId="3" fillId="0" borderId="4" xfId="0" applyFont="1" applyBorder="1"/>
    <xf numFmtId="164" fontId="3" fillId="0" borderId="4" xfId="1" applyNumberFormat="1" applyFont="1" applyBorder="1"/>
    <xf numFmtId="0" fontId="3" fillId="0" borderId="3" xfId="0" applyFont="1" applyBorder="1"/>
    <xf numFmtId="164" fontId="3" fillId="0" borderId="3" xfId="1" applyNumberFormat="1" applyFont="1" applyBorder="1"/>
    <xf numFmtId="0" fontId="3" fillId="2" borderId="0" xfId="0" applyFont="1" applyFill="1"/>
    <xf numFmtId="0" fontId="4" fillId="9" borderId="1" xfId="0" applyFont="1" applyFill="1" applyBorder="1" applyAlignment="1">
      <alignment horizontal="center" vertical="top"/>
    </xf>
    <xf numFmtId="0" fontId="4" fillId="5" borderId="5" xfId="0" applyFont="1" applyFill="1" applyBorder="1"/>
    <xf numFmtId="164" fontId="4" fillId="5" borderId="6" xfId="1" applyNumberFormat="1" applyFont="1" applyFill="1" applyBorder="1"/>
    <xf numFmtId="164" fontId="4" fillId="5" borderId="7" xfId="1" applyNumberFormat="1" applyFont="1" applyFill="1" applyBorder="1"/>
    <xf numFmtId="0" fontId="4" fillId="5" borderId="8" xfId="0" applyFont="1" applyFill="1" applyBorder="1"/>
    <xf numFmtId="164" fontId="4" fillId="5" borderId="9" xfId="1" applyNumberFormat="1" applyFont="1" applyFill="1" applyBorder="1"/>
    <xf numFmtId="164" fontId="4" fillId="5" borderId="10" xfId="1" applyNumberFormat="1" applyFont="1" applyFill="1" applyBorder="1"/>
    <xf numFmtId="0" fontId="4" fillId="4" borderId="3" xfId="0" applyFont="1" applyFill="1" applyBorder="1"/>
    <xf numFmtId="164" fontId="4" fillId="4" borderId="3" xfId="1" applyNumberFormat="1" applyFont="1" applyFill="1" applyBorder="1"/>
    <xf numFmtId="0" fontId="4" fillId="10" borderId="1" xfId="0" applyFont="1" applyFill="1" applyBorder="1" applyAlignment="1">
      <alignment horizontal="center" vertical="top"/>
    </xf>
    <xf numFmtId="165" fontId="3" fillId="0" borderId="1" xfId="2" applyNumberFormat="1" applyFont="1" applyBorder="1"/>
    <xf numFmtId="9" fontId="3" fillId="0" borderId="1" xfId="2" applyFont="1" applyBorder="1"/>
    <xf numFmtId="0" fontId="3" fillId="0" borderId="1" xfId="0" applyFont="1" applyBorder="1" applyAlignment="1">
      <alignment horizontal="right"/>
    </xf>
    <xf numFmtId="0" fontId="2" fillId="3" borderId="15" xfId="0" applyFont="1" applyFill="1" applyBorder="1" applyAlignment="1">
      <alignment horizontal="center" vertical="top"/>
    </xf>
    <xf numFmtId="0" fontId="2" fillId="3" borderId="16" xfId="0" applyFont="1" applyFill="1" applyBorder="1" applyAlignment="1">
      <alignment horizontal="center" vertical="top"/>
    </xf>
    <xf numFmtId="0" fontId="2" fillId="3" borderId="17" xfId="0" applyFont="1" applyFill="1" applyBorder="1" applyAlignment="1">
      <alignment horizontal="center" vertical="top"/>
    </xf>
    <xf numFmtId="164" fontId="3" fillId="0" borderId="19" xfId="1" applyNumberFormat="1" applyFont="1" applyBorder="1"/>
    <xf numFmtId="0" fontId="0" fillId="0" borderId="0" xfId="0" applyBorder="1"/>
    <xf numFmtId="0" fontId="3" fillId="0" borderId="0" xfId="0" applyFont="1" applyBorder="1"/>
    <xf numFmtId="164" fontId="3" fillId="0" borderId="21" xfId="1" applyNumberFormat="1" applyFont="1" applyBorder="1"/>
    <xf numFmtId="0" fontId="0" fillId="0" borderId="1" xfId="0" applyBorder="1"/>
    <xf numFmtId="0" fontId="3" fillId="0" borderId="22" xfId="0" applyFont="1" applyBorder="1"/>
    <xf numFmtId="0" fontId="3" fillId="0" borderId="23" xfId="0" applyFont="1" applyBorder="1"/>
    <xf numFmtId="0" fontId="3" fillId="0" borderId="24" xfId="0" applyFont="1" applyFill="1" applyBorder="1"/>
    <xf numFmtId="164" fontId="3" fillId="0" borderId="25" xfId="1" applyNumberFormat="1" applyFont="1" applyBorder="1"/>
    <xf numFmtId="164" fontId="3" fillId="0" borderId="26" xfId="1" applyNumberFormat="1" applyFont="1" applyBorder="1"/>
    <xf numFmtId="0" fontId="3" fillId="0" borderId="15" xfId="0" applyFont="1" applyBorder="1" applyAlignment="1">
      <alignment horizontal="center"/>
    </xf>
    <xf numFmtId="164" fontId="3" fillId="0" borderId="17" xfId="1" applyNumberFormat="1" applyFont="1" applyBorder="1"/>
    <xf numFmtId="0" fontId="3" fillId="0" borderId="18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0" fillId="0" borderId="5" xfId="0" applyBorder="1"/>
    <xf numFmtId="0" fontId="0" fillId="0" borderId="27" xfId="0" applyBorder="1"/>
    <xf numFmtId="164" fontId="3" fillId="0" borderId="14" xfId="1" applyNumberFormat="1" applyFont="1" applyBorder="1"/>
    <xf numFmtId="3" fontId="3" fillId="0" borderId="0" xfId="0" applyNumberFormat="1" applyFont="1"/>
    <xf numFmtId="0" fontId="4" fillId="6" borderId="2" xfId="0" applyFont="1" applyFill="1" applyBorder="1" applyAlignment="1">
      <alignment horizontal="center" vertical="top"/>
    </xf>
    <xf numFmtId="166" fontId="3" fillId="0" borderId="2" xfId="1" applyNumberFormat="1" applyFont="1" applyBorder="1"/>
    <xf numFmtId="0" fontId="2" fillId="7" borderId="15" xfId="0" applyFont="1" applyFill="1" applyBorder="1" applyAlignment="1">
      <alignment horizontal="center" vertical="top"/>
    </xf>
    <xf numFmtId="0" fontId="4" fillId="7" borderId="16" xfId="0" applyFont="1" applyFill="1" applyBorder="1" applyAlignment="1">
      <alignment horizontal="center" vertical="top"/>
    </xf>
    <xf numFmtId="0" fontId="4" fillId="7" borderId="17" xfId="0" applyFont="1" applyFill="1" applyBorder="1" applyAlignment="1">
      <alignment horizontal="center" vertical="top"/>
    </xf>
    <xf numFmtId="164" fontId="0" fillId="0" borderId="1" xfId="0" applyNumberFormat="1" applyBorder="1"/>
    <xf numFmtId="0" fontId="0" fillId="0" borderId="1" xfId="0" applyBorder="1" applyAlignment="1">
      <alignment horizontal="center"/>
    </xf>
    <xf numFmtId="3" fontId="0" fillId="0" borderId="0" xfId="0" applyNumberFormat="1"/>
    <xf numFmtId="0" fontId="0" fillId="0" borderId="0" xfId="0" applyAlignment="1">
      <alignment horizontal="center"/>
    </xf>
    <xf numFmtId="0" fontId="4" fillId="0" borderId="18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19" xfId="0" applyFont="1" applyBorder="1" applyAlignment="1">
      <alignment horizontal="left"/>
    </xf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0" xfId="0" applyFont="1" applyFill="1" applyAlignment="1">
      <alignment horizontal="left"/>
    </xf>
    <xf numFmtId="0" fontId="3" fillId="2" borderId="1" xfId="0" applyFont="1" applyFill="1" applyBorder="1" applyAlignment="1">
      <alignment horizontal="left" vertical="top" wrapText="1"/>
    </xf>
    <xf numFmtId="0" fontId="4" fillId="9" borderId="2" xfId="0" applyFont="1" applyFill="1" applyBorder="1" applyAlignment="1">
      <alignment horizontal="center"/>
    </xf>
    <xf numFmtId="0" fontId="4" fillId="9" borderId="11" xfId="0" applyFont="1" applyFill="1" applyBorder="1" applyAlignment="1">
      <alignment horizontal="center"/>
    </xf>
    <xf numFmtId="0" fontId="4" fillId="9" borderId="12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755450</xdr:colOff>
      <xdr:row>0</xdr:row>
      <xdr:rowOff>53341</xdr:rowOff>
    </xdr:from>
    <xdr:to>
      <xdr:col>8</xdr:col>
      <xdr:colOff>761999</xdr:colOff>
      <xdr:row>4</xdr:row>
      <xdr:rowOff>114301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5F9723A-178D-EA83-1E8B-403375F41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2810" y="53341"/>
          <a:ext cx="799029" cy="792480"/>
        </a:xfrm>
        <a:prstGeom prst="rect">
          <a:avLst/>
        </a:prstGeom>
      </xdr:spPr>
    </xdr:pic>
    <xdr:clientData/>
  </xdr:twoCellAnchor>
  <xdr:twoCellAnchor editAs="oneCell">
    <xdr:from>
      <xdr:col>2</xdr:col>
      <xdr:colOff>784860</xdr:colOff>
      <xdr:row>6</xdr:row>
      <xdr:rowOff>30480</xdr:rowOff>
    </xdr:from>
    <xdr:to>
      <xdr:col>6</xdr:col>
      <xdr:colOff>7620</xdr:colOff>
      <xdr:row>19</xdr:row>
      <xdr:rowOff>45720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F908314-5395-47B5-A152-0A89EA1E6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9820" y="1127760"/>
          <a:ext cx="2392680" cy="23926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A033D-E7C3-43D8-9DAD-434E42490C56}">
  <sheetPr>
    <tabColor rgb="FF7030A0"/>
  </sheetPr>
  <dimension ref="A2:I29"/>
  <sheetViews>
    <sheetView tabSelected="1" workbookViewId="0">
      <selection activeCell="K18" sqref="K18"/>
    </sheetView>
  </sheetViews>
  <sheetFormatPr baseColWidth="10" defaultRowHeight="14.4" x14ac:dyDescent="0.3"/>
  <sheetData>
    <row r="2" spans="1:9" x14ac:dyDescent="0.3">
      <c r="A2" s="80" t="s">
        <v>31</v>
      </c>
      <c r="B2" s="80"/>
      <c r="C2" s="80"/>
      <c r="D2" s="80"/>
      <c r="E2" s="80"/>
      <c r="F2" s="80"/>
      <c r="G2" s="80"/>
      <c r="H2" s="80"/>
      <c r="I2" s="80"/>
    </row>
    <row r="3" spans="1:9" x14ac:dyDescent="0.3">
      <c r="A3" s="80" t="s">
        <v>32</v>
      </c>
      <c r="B3" s="80"/>
      <c r="C3" s="80"/>
      <c r="D3" s="80"/>
      <c r="E3" s="80"/>
      <c r="F3" s="80"/>
      <c r="G3" s="80"/>
      <c r="H3" s="80"/>
      <c r="I3" s="80"/>
    </row>
    <row r="5" spans="1:9" x14ac:dyDescent="0.3">
      <c r="A5" s="80" t="s">
        <v>38</v>
      </c>
      <c r="B5" s="80"/>
      <c r="C5" s="80"/>
      <c r="D5" s="80"/>
      <c r="E5" s="80"/>
      <c r="F5" s="80"/>
      <c r="G5" s="80"/>
      <c r="H5" s="80"/>
      <c r="I5" s="80"/>
    </row>
    <row r="6" spans="1:9" x14ac:dyDescent="0.3">
      <c r="A6" s="80" t="s">
        <v>39</v>
      </c>
      <c r="B6" s="80"/>
      <c r="C6" s="80"/>
      <c r="D6" s="80"/>
      <c r="E6" s="80"/>
      <c r="F6" s="80"/>
      <c r="G6" s="80"/>
      <c r="H6" s="80"/>
      <c r="I6" s="80"/>
    </row>
    <row r="7" spans="1:9" x14ac:dyDescent="0.3">
      <c r="A7" s="2"/>
      <c r="B7" s="2"/>
      <c r="C7" s="2"/>
      <c r="D7" s="2"/>
      <c r="E7" s="2"/>
      <c r="F7" s="2"/>
      <c r="G7" s="2"/>
      <c r="H7" s="2"/>
      <c r="I7" s="2"/>
    </row>
    <row r="8" spans="1:9" x14ac:dyDescent="0.3">
      <c r="A8" s="2"/>
      <c r="B8" s="2"/>
      <c r="C8" s="2"/>
      <c r="D8" s="2"/>
      <c r="E8" s="2"/>
      <c r="F8" s="2"/>
      <c r="G8" s="2"/>
      <c r="H8" s="2"/>
      <c r="I8" s="2"/>
    </row>
    <row r="9" spans="1:9" x14ac:dyDescent="0.3">
      <c r="A9" s="2"/>
      <c r="B9" s="2"/>
      <c r="C9" s="2"/>
      <c r="D9" s="2"/>
      <c r="E9" s="2"/>
      <c r="F9" s="2"/>
      <c r="G9" s="2"/>
      <c r="H9" s="2"/>
      <c r="I9" s="2"/>
    </row>
    <row r="10" spans="1:9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3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3">
      <c r="A18" s="2"/>
      <c r="B18" s="2"/>
      <c r="C18" s="2"/>
      <c r="D18" s="2"/>
      <c r="E18" s="2"/>
      <c r="F18" s="2"/>
      <c r="G18" s="2"/>
      <c r="H18" s="2"/>
      <c r="I18" s="2"/>
    </row>
    <row r="21" spans="1:9" x14ac:dyDescent="0.3">
      <c r="A21" s="80" t="s">
        <v>71</v>
      </c>
      <c r="B21" s="80"/>
      <c r="C21" s="80"/>
      <c r="D21" s="80"/>
      <c r="E21" s="80"/>
      <c r="F21" s="80"/>
      <c r="G21" s="80"/>
      <c r="H21" s="80"/>
      <c r="I21" s="80"/>
    </row>
    <row r="22" spans="1:9" x14ac:dyDescent="0.3">
      <c r="A22" s="80" t="s">
        <v>34</v>
      </c>
      <c r="B22" s="80"/>
      <c r="C22" s="80"/>
      <c r="D22" s="80"/>
      <c r="E22" s="80"/>
      <c r="F22" s="80"/>
      <c r="G22" s="80"/>
      <c r="H22" s="80"/>
      <c r="I22" s="80"/>
    </row>
    <row r="24" spans="1:9" x14ac:dyDescent="0.3">
      <c r="A24" s="80" t="s">
        <v>33</v>
      </c>
      <c r="B24" s="80"/>
      <c r="C24" s="80"/>
      <c r="D24" s="80"/>
      <c r="E24" s="80"/>
      <c r="F24" s="80"/>
      <c r="G24" s="80"/>
      <c r="H24" s="80"/>
      <c r="I24" s="80"/>
    </row>
    <row r="25" spans="1:9" x14ac:dyDescent="0.3">
      <c r="A25" s="80" t="s">
        <v>35</v>
      </c>
      <c r="B25" s="80"/>
      <c r="C25" s="80"/>
      <c r="D25" s="80"/>
      <c r="E25" s="80"/>
      <c r="F25" s="80"/>
      <c r="G25" s="80"/>
      <c r="H25" s="80"/>
      <c r="I25" s="80"/>
    </row>
    <row r="27" spans="1:9" x14ac:dyDescent="0.3">
      <c r="A27" s="80" t="s">
        <v>36</v>
      </c>
      <c r="B27" s="80"/>
      <c r="C27" s="80"/>
      <c r="D27" s="80"/>
      <c r="E27" s="80"/>
      <c r="F27" s="80"/>
      <c r="G27" s="80"/>
      <c r="H27" s="80"/>
      <c r="I27" s="80"/>
    </row>
    <row r="28" spans="1:9" x14ac:dyDescent="0.3">
      <c r="A28" s="80" t="s">
        <v>37</v>
      </c>
      <c r="B28" s="80"/>
      <c r="C28" s="80"/>
      <c r="D28" s="80"/>
      <c r="E28" s="80"/>
      <c r="F28" s="80"/>
      <c r="G28" s="80"/>
      <c r="H28" s="80"/>
      <c r="I28" s="80"/>
    </row>
    <row r="29" spans="1:9" x14ac:dyDescent="0.3">
      <c r="A29" s="80">
        <v>2026</v>
      </c>
      <c r="B29" s="80"/>
      <c r="C29" s="80"/>
      <c r="D29" s="80"/>
      <c r="E29" s="80"/>
      <c r="F29" s="80"/>
      <c r="G29" s="80"/>
      <c r="H29" s="80"/>
      <c r="I29" s="80"/>
    </row>
  </sheetData>
  <mergeCells count="11">
    <mergeCell ref="A2:I2"/>
    <mergeCell ref="A3:I3"/>
    <mergeCell ref="A21:I21"/>
    <mergeCell ref="A22:I22"/>
    <mergeCell ref="A24:I24"/>
    <mergeCell ref="A27:I27"/>
    <mergeCell ref="A28:I28"/>
    <mergeCell ref="A29:I29"/>
    <mergeCell ref="A5:I5"/>
    <mergeCell ref="A6:I6"/>
    <mergeCell ref="A25:I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J27"/>
  <sheetViews>
    <sheetView topLeftCell="A2" workbookViewId="0">
      <selection activeCell="G13" sqref="G13"/>
    </sheetView>
  </sheetViews>
  <sheetFormatPr baseColWidth="10" defaultColWidth="9.21875" defaultRowHeight="14.4" x14ac:dyDescent="0.3"/>
  <cols>
    <col min="1" max="1" width="67.21875" customWidth="1"/>
    <col min="2" max="2" width="13" customWidth="1"/>
    <col min="3" max="3" width="17.6640625" customWidth="1"/>
    <col min="4" max="4" width="38.33203125" customWidth="1"/>
  </cols>
  <sheetData>
    <row r="1" spans="1:10" x14ac:dyDescent="0.3">
      <c r="A1" s="51" t="s">
        <v>9</v>
      </c>
      <c r="B1" s="52" t="s">
        <v>59</v>
      </c>
      <c r="C1" s="52" t="s">
        <v>60</v>
      </c>
      <c r="D1" s="53" t="s">
        <v>61</v>
      </c>
      <c r="E1" s="4"/>
      <c r="F1" s="4"/>
      <c r="G1" s="4"/>
      <c r="H1" s="4"/>
      <c r="I1" s="4"/>
      <c r="J1" s="4"/>
    </row>
    <row r="2" spans="1:10" ht="15" thickBot="1" x14ac:dyDescent="0.35">
      <c r="A2" s="81" t="s">
        <v>72</v>
      </c>
      <c r="B2" s="82"/>
      <c r="C2" s="82"/>
      <c r="D2" s="83"/>
      <c r="E2" s="4"/>
      <c r="F2" s="4"/>
      <c r="G2" s="4"/>
      <c r="H2" s="4"/>
      <c r="I2" s="4"/>
      <c r="J2" s="4"/>
    </row>
    <row r="3" spans="1:10" x14ac:dyDescent="0.3">
      <c r="A3" s="59" t="s">
        <v>73</v>
      </c>
      <c r="B3" s="64">
        <v>1</v>
      </c>
      <c r="C3" s="65">
        <v>3000000</v>
      </c>
      <c r="D3" s="62">
        <f t="shared" ref="D3:D13" si="0">B3*C3</f>
        <v>3000000</v>
      </c>
      <c r="E3" s="4"/>
      <c r="F3" s="4"/>
      <c r="G3" s="4"/>
      <c r="H3" s="4"/>
      <c r="I3" s="4"/>
      <c r="J3" s="4"/>
    </row>
    <row r="4" spans="1:10" x14ac:dyDescent="0.3">
      <c r="A4" s="59" t="s">
        <v>74</v>
      </c>
      <c r="B4" s="66">
        <v>2</v>
      </c>
      <c r="C4" s="54">
        <v>600000</v>
      </c>
      <c r="D4" s="62">
        <f t="shared" si="0"/>
        <v>1200000</v>
      </c>
      <c r="E4" s="4"/>
      <c r="F4" s="4"/>
      <c r="G4" s="4"/>
      <c r="H4" s="4"/>
      <c r="I4" s="4"/>
      <c r="J4" s="4"/>
    </row>
    <row r="5" spans="1:10" x14ac:dyDescent="0.3">
      <c r="A5" s="59" t="s">
        <v>75</v>
      </c>
      <c r="B5" s="66">
        <v>4</v>
      </c>
      <c r="C5" s="54">
        <v>500000</v>
      </c>
      <c r="D5" s="62">
        <f t="shared" si="0"/>
        <v>2000000</v>
      </c>
      <c r="E5" s="4"/>
      <c r="F5" s="4"/>
      <c r="G5" s="4"/>
      <c r="H5" s="4"/>
      <c r="I5" s="4"/>
      <c r="J5" s="4"/>
    </row>
    <row r="6" spans="1:10" x14ac:dyDescent="0.3">
      <c r="A6" s="59" t="s">
        <v>76</v>
      </c>
      <c r="B6" s="66">
        <v>2</v>
      </c>
      <c r="C6" s="54">
        <v>900000</v>
      </c>
      <c r="D6" s="62">
        <f t="shared" si="0"/>
        <v>1800000</v>
      </c>
      <c r="E6" s="4"/>
      <c r="F6" s="4"/>
      <c r="G6" s="4"/>
      <c r="H6" s="4"/>
      <c r="I6" s="4"/>
      <c r="J6" s="4"/>
    </row>
    <row r="7" spans="1:10" x14ac:dyDescent="0.3">
      <c r="A7" s="59" t="s">
        <v>77</v>
      </c>
      <c r="B7" s="66">
        <v>1</v>
      </c>
      <c r="C7" s="54">
        <v>2200000</v>
      </c>
      <c r="D7" s="62">
        <f t="shared" si="0"/>
        <v>2200000</v>
      </c>
      <c r="E7" s="4"/>
      <c r="F7" s="4"/>
      <c r="G7" s="4"/>
      <c r="H7" s="4"/>
      <c r="I7" s="4"/>
      <c r="J7" s="4"/>
    </row>
    <row r="8" spans="1:10" x14ac:dyDescent="0.3">
      <c r="A8" s="59" t="s">
        <v>78</v>
      </c>
      <c r="B8" s="66">
        <v>1</v>
      </c>
      <c r="C8" s="54">
        <v>700000</v>
      </c>
      <c r="D8" s="62">
        <f t="shared" si="0"/>
        <v>700000</v>
      </c>
      <c r="E8" s="4"/>
      <c r="F8" s="4"/>
      <c r="G8" s="4"/>
      <c r="H8" s="4"/>
      <c r="I8" s="4"/>
      <c r="J8" s="4"/>
    </row>
    <row r="9" spans="1:10" x14ac:dyDescent="0.3">
      <c r="A9" s="59" t="s">
        <v>79</v>
      </c>
      <c r="B9" s="66">
        <v>1</v>
      </c>
      <c r="C9" s="54">
        <v>800000</v>
      </c>
      <c r="D9" s="62">
        <f t="shared" si="0"/>
        <v>800000</v>
      </c>
      <c r="E9" s="4"/>
      <c r="F9" s="4"/>
      <c r="G9" s="4"/>
      <c r="H9" s="4"/>
      <c r="I9" s="4"/>
      <c r="J9" s="4"/>
    </row>
    <row r="10" spans="1:10" x14ac:dyDescent="0.3">
      <c r="A10" s="59" t="s">
        <v>80</v>
      </c>
      <c r="B10" s="66">
        <v>1</v>
      </c>
      <c r="C10" s="54">
        <v>2500000</v>
      </c>
      <c r="D10" s="62">
        <f t="shared" si="0"/>
        <v>2500000</v>
      </c>
      <c r="E10" s="4"/>
      <c r="F10" s="4"/>
      <c r="G10" s="4"/>
      <c r="H10" s="4"/>
      <c r="I10" s="4"/>
      <c r="J10" s="4"/>
    </row>
    <row r="11" spans="1:10" x14ac:dyDescent="0.3">
      <c r="A11" s="59" t="s">
        <v>84</v>
      </c>
      <c r="B11" s="66">
        <v>1</v>
      </c>
      <c r="C11" s="54">
        <v>1500000</v>
      </c>
      <c r="D11" s="62">
        <f t="shared" si="0"/>
        <v>1500000</v>
      </c>
      <c r="E11" s="4"/>
      <c r="F11" s="4"/>
      <c r="G11" s="4"/>
      <c r="H11" s="4"/>
      <c r="I11" s="4"/>
      <c r="J11" s="4"/>
    </row>
    <row r="12" spans="1:10" x14ac:dyDescent="0.3">
      <c r="A12" s="59" t="s">
        <v>81</v>
      </c>
      <c r="B12" s="66">
        <v>1</v>
      </c>
      <c r="C12" s="54">
        <v>1200000</v>
      </c>
      <c r="D12" s="62">
        <f t="shared" si="0"/>
        <v>1200000</v>
      </c>
      <c r="E12" s="4"/>
      <c r="F12" s="4"/>
      <c r="G12" s="4"/>
      <c r="H12" s="4"/>
      <c r="I12" s="4"/>
      <c r="J12" s="4"/>
    </row>
    <row r="13" spans="1:10" x14ac:dyDescent="0.3">
      <c r="A13" s="59" t="s">
        <v>82</v>
      </c>
      <c r="B13" s="66">
        <v>1</v>
      </c>
      <c r="C13" s="54">
        <v>8000000</v>
      </c>
      <c r="D13" s="62">
        <f t="shared" si="0"/>
        <v>8000000</v>
      </c>
      <c r="E13" s="4"/>
      <c r="F13" s="4"/>
      <c r="G13" s="4"/>
      <c r="H13" s="4"/>
      <c r="I13" s="4"/>
      <c r="J13" s="4"/>
    </row>
    <row r="14" spans="1:10" ht="15" thickBot="1" x14ac:dyDescent="0.35">
      <c r="A14" s="60" t="s">
        <v>83</v>
      </c>
      <c r="B14" s="67">
        <v>1</v>
      </c>
      <c r="C14" s="57">
        <v>110000</v>
      </c>
      <c r="D14" s="63">
        <v>2000000</v>
      </c>
      <c r="E14" s="4"/>
      <c r="F14" s="4"/>
      <c r="G14" s="4"/>
      <c r="H14" s="4"/>
      <c r="I14" s="4"/>
      <c r="J14" s="4"/>
    </row>
    <row r="15" spans="1:10" ht="15" thickBot="1" x14ac:dyDescent="0.35">
      <c r="A15" s="61"/>
      <c r="B15" s="68"/>
      <c r="C15" s="69"/>
      <c r="D15" s="70"/>
      <c r="E15" s="4"/>
      <c r="F15" s="4"/>
      <c r="G15" s="4"/>
      <c r="H15" s="4"/>
      <c r="I15" s="4"/>
      <c r="J15" s="4"/>
    </row>
    <row r="16" spans="1:10" ht="1.2" customHeight="1" x14ac:dyDescent="0.3">
      <c r="A16" s="56"/>
      <c r="B16" s="56"/>
      <c r="C16" s="56"/>
      <c r="D16" s="56"/>
      <c r="E16" s="56"/>
      <c r="F16" s="4"/>
      <c r="G16" s="4"/>
      <c r="H16" s="4"/>
      <c r="I16" s="4"/>
      <c r="J16" s="4"/>
    </row>
    <row r="17" spans="1:10" hidden="1" x14ac:dyDescent="0.3">
      <c r="A17" s="35"/>
      <c r="B17" s="35"/>
      <c r="C17" s="35"/>
      <c r="D17" s="35"/>
      <c r="E17" s="4"/>
      <c r="F17" s="4"/>
      <c r="G17" s="4"/>
      <c r="H17" s="4"/>
      <c r="I17" s="4"/>
      <c r="J17" s="4"/>
    </row>
    <row r="18" spans="1:10" hidden="1" x14ac:dyDescent="0.3">
      <c r="A18" s="5"/>
      <c r="B18" s="5"/>
      <c r="C18" s="5"/>
      <c r="D18" s="5"/>
      <c r="E18" s="4"/>
      <c r="F18" s="4"/>
      <c r="G18" s="4"/>
      <c r="H18" s="4"/>
      <c r="I18" s="4"/>
      <c r="J18" s="4"/>
    </row>
    <row r="19" spans="1:10" hidden="1" x14ac:dyDescent="0.3">
      <c r="A19" s="5"/>
      <c r="B19" s="5"/>
      <c r="C19" s="5"/>
      <c r="D19" s="5"/>
      <c r="E19" s="4"/>
      <c r="F19" s="4"/>
      <c r="G19" s="4"/>
      <c r="H19" s="4"/>
      <c r="I19" s="4"/>
      <c r="J19" s="4"/>
    </row>
    <row r="20" spans="1:10" hidden="1" x14ac:dyDescent="0.3">
      <c r="A20" s="5"/>
      <c r="B20" s="5"/>
      <c r="C20" s="5"/>
      <c r="D20" s="5"/>
      <c r="E20" s="4"/>
      <c r="F20" s="4"/>
      <c r="G20" s="4"/>
      <c r="H20" s="4"/>
      <c r="I20" s="4"/>
      <c r="J20" s="4"/>
    </row>
    <row r="21" spans="1:10" hidden="1" x14ac:dyDescent="0.3">
      <c r="A21" s="5"/>
      <c r="B21" s="5"/>
      <c r="C21" s="5"/>
      <c r="D21" s="5"/>
      <c r="E21" s="4"/>
      <c r="F21" s="4"/>
      <c r="G21" s="4"/>
      <c r="H21" s="4"/>
      <c r="I21" s="4"/>
      <c r="J21" s="4"/>
    </row>
    <row r="22" spans="1:10" x14ac:dyDescent="0.3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x14ac:dyDescent="0.3">
      <c r="A23" s="9" t="s">
        <v>1</v>
      </c>
      <c r="B23" s="10">
        <f>SUM(B2:B21)</f>
        <v>17</v>
      </c>
      <c r="C23" s="11">
        <f>SUM(C3:C21)</f>
        <v>22010000</v>
      </c>
      <c r="D23" s="11">
        <f>SUM(D3:D21)</f>
        <v>26900000</v>
      </c>
      <c r="E23" s="4"/>
      <c r="F23" s="4"/>
      <c r="G23" s="4"/>
      <c r="H23" s="4"/>
      <c r="I23" s="4"/>
      <c r="J23" s="4"/>
    </row>
    <row r="24" spans="1:10" x14ac:dyDescent="0.3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 x14ac:dyDescent="0.3">
      <c r="A25" s="8" t="s">
        <v>57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3">
      <c r="A26" s="8" t="s">
        <v>55</v>
      </c>
      <c r="B26" s="84" t="s">
        <v>58</v>
      </c>
      <c r="C26" s="84"/>
      <c r="D26" s="84"/>
      <c r="E26" s="84"/>
      <c r="F26" s="84"/>
      <c r="G26" s="84"/>
      <c r="H26" s="84"/>
      <c r="I26" s="84"/>
      <c r="J26" s="84"/>
    </row>
    <row r="27" spans="1:10" x14ac:dyDescent="0.3">
      <c r="A27" s="8" t="s">
        <v>56</v>
      </c>
      <c r="B27" s="4"/>
      <c r="C27" s="4"/>
      <c r="D27" s="4"/>
      <c r="E27" s="4"/>
      <c r="F27" s="4"/>
      <c r="G27" s="4"/>
      <c r="H27" s="4"/>
      <c r="I27" s="4"/>
      <c r="J27" s="4"/>
    </row>
  </sheetData>
  <mergeCells count="2">
    <mergeCell ref="A2:D2"/>
    <mergeCell ref="B26:J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H12"/>
  <sheetViews>
    <sheetView zoomScale="112" workbookViewId="0">
      <selection activeCell="B11" sqref="B11"/>
    </sheetView>
  </sheetViews>
  <sheetFormatPr baseColWidth="10" defaultColWidth="9.21875" defaultRowHeight="14.4" x14ac:dyDescent="0.3"/>
  <cols>
    <col min="1" max="1" width="67" customWidth="1"/>
    <col min="2" max="2" width="19.44140625" bestFit="1" customWidth="1"/>
  </cols>
  <sheetData>
    <row r="1" spans="1:8" x14ac:dyDescent="0.3">
      <c r="A1" s="12" t="s">
        <v>9</v>
      </c>
      <c r="B1" s="12" t="s">
        <v>62</v>
      </c>
    </row>
    <row r="2" spans="1:8" x14ac:dyDescent="0.3">
      <c r="A2" s="5" t="s">
        <v>85</v>
      </c>
      <c r="B2" s="13">
        <v>1200000</v>
      </c>
    </row>
    <row r="3" spans="1:8" x14ac:dyDescent="0.3">
      <c r="A3" s="5" t="s">
        <v>86</v>
      </c>
      <c r="B3" s="13">
        <v>1423500</v>
      </c>
    </row>
    <row r="4" spans="1:8" x14ac:dyDescent="0.3">
      <c r="A4" s="5" t="s">
        <v>87</v>
      </c>
      <c r="B4" s="13">
        <v>550000</v>
      </c>
    </row>
    <row r="5" spans="1:8" x14ac:dyDescent="0.3">
      <c r="A5" s="5" t="s">
        <v>88</v>
      </c>
      <c r="B5" s="13">
        <v>250000</v>
      </c>
    </row>
    <row r="6" spans="1:8" x14ac:dyDescent="0.3">
      <c r="A6" s="5" t="s">
        <v>89</v>
      </c>
      <c r="B6" s="13">
        <v>80000</v>
      </c>
    </row>
    <row r="7" spans="1:8" x14ac:dyDescent="0.3">
      <c r="A7" s="5" t="s">
        <v>90</v>
      </c>
      <c r="B7" s="13">
        <v>300000</v>
      </c>
    </row>
    <row r="8" spans="1:8" x14ac:dyDescent="0.3">
      <c r="A8" s="5" t="s">
        <v>91</v>
      </c>
      <c r="B8" s="13">
        <v>80000</v>
      </c>
    </row>
    <row r="9" spans="1:8" x14ac:dyDescent="0.3">
      <c r="A9" s="5" t="s">
        <v>92</v>
      </c>
      <c r="B9" s="13">
        <v>120000</v>
      </c>
      <c r="H9" t="s">
        <v>40</v>
      </c>
    </row>
    <row r="10" spans="1:8" x14ac:dyDescent="0.3">
      <c r="A10" s="5" t="s">
        <v>93</v>
      </c>
      <c r="B10" s="13">
        <v>250000</v>
      </c>
    </row>
    <row r="11" spans="1:8" x14ac:dyDescent="0.3">
      <c r="A11" s="4" t="s">
        <v>41</v>
      </c>
      <c r="B11" s="71">
        <v>200000</v>
      </c>
    </row>
    <row r="12" spans="1:8" x14ac:dyDescent="0.3">
      <c r="A12" s="14" t="s">
        <v>1</v>
      </c>
      <c r="B12" s="15">
        <f>SUM(B2:B11)</f>
        <v>4453500</v>
      </c>
    </row>
  </sheetData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D11"/>
  <sheetViews>
    <sheetView zoomScale="124" workbookViewId="0">
      <selection activeCell="A17" sqref="A17"/>
    </sheetView>
  </sheetViews>
  <sheetFormatPr baseColWidth="10" defaultColWidth="9.21875" defaultRowHeight="14.4" x14ac:dyDescent="0.3"/>
  <cols>
    <col min="1" max="1" width="40.109375" customWidth="1"/>
    <col min="2" max="2" width="25.6640625" customWidth="1"/>
    <col min="3" max="3" width="22.88671875" customWidth="1"/>
  </cols>
  <sheetData>
    <row r="1" spans="1:4" x14ac:dyDescent="0.3">
      <c r="A1" s="17" t="s">
        <v>95</v>
      </c>
      <c r="B1" s="72" t="s">
        <v>96</v>
      </c>
    </row>
    <row r="2" spans="1:4" x14ac:dyDescent="0.3">
      <c r="A2" s="5" t="s">
        <v>97</v>
      </c>
      <c r="B2" s="73">
        <v>2500000</v>
      </c>
      <c r="C2" s="55"/>
      <c r="D2" s="55"/>
    </row>
    <row r="3" spans="1:4" x14ac:dyDescent="0.3">
      <c r="A3" s="5" t="s">
        <v>98</v>
      </c>
      <c r="B3" s="73">
        <v>150000</v>
      </c>
      <c r="C3" s="55"/>
      <c r="D3" s="55"/>
    </row>
    <row r="4" spans="1:4" x14ac:dyDescent="0.3">
      <c r="A4" s="5" t="s">
        <v>100</v>
      </c>
      <c r="B4" s="73">
        <v>100000</v>
      </c>
      <c r="C4" s="55"/>
      <c r="D4" s="55"/>
    </row>
    <row r="5" spans="1:4" x14ac:dyDescent="0.3">
      <c r="A5" s="5" t="s">
        <v>99</v>
      </c>
      <c r="B5" s="73">
        <v>200000</v>
      </c>
      <c r="C5" s="55"/>
      <c r="D5" s="55"/>
    </row>
    <row r="6" spans="1:4" x14ac:dyDescent="0.3">
      <c r="A6" s="5" t="s">
        <v>101</v>
      </c>
      <c r="B6" s="73">
        <v>120000</v>
      </c>
      <c r="C6" s="55"/>
      <c r="D6" s="55"/>
    </row>
    <row r="7" spans="1:4" hidden="1" x14ac:dyDescent="0.3">
      <c r="A7" s="5"/>
      <c r="B7" s="73"/>
      <c r="C7" s="55"/>
      <c r="D7" s="55"/>
    </row>
    <row r="8" spans="1:4" x14ac:dyDescent="0.3">
      <c r="A8" s="5" t="s">
        <v>41</v>
      </c>
      <c r="B8" s="73">
        <v>130000</v>
      </c>
      <c r="C8" s="55"/>
      <c r="D8" s="55"/>
    </row>
    <row r="9" spans="1:4" hidden="1" x14ac:dyDescent="0.3">
      <c r="A9" s="5"/>
      <c r="B9" s="73"/>
      <c r="C9" s="55"/>
      <c r="D9" s="55"/>
    </row>
    <row r="10" spans="1:4" hidden="1" x14ac:dyDescent="0.3">
      <c r="A10" s="16"/>
      <c r="B10" s="4"/>
      <c r="C10" s="55"/>
      <c r="D10" s="55"/>
    </row>
    <row r="11" spans="1:4" x14ac:dyDescent="0.3">
      <c r="A11" s="18" t="s">
        <v>1</v>
      </c>
      <c r="B11" s="19">
        <f>SUM(B2:B9)</f>
        <v>3200000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-0.249977111117893"/>
  </sheetPr>
  <dimension ref="A1:D15"/>
  <sheetViews>
    <sheetView workbookViewId="0">
      <selection activeCell="C20" sqref="C20"/>
    </sheetView>
  </sheetViews>
  <sheetFormatPr baseColWidth="10" defaultColWidth="9.21875" defaultRowHeight="14.4" x14ac:dyDescent="0.3"/>
  <cols>
    <col min="1" max="1" width="67.77734375" customWidth="1"/>
    <col min="2" max="2" width="24.5546875" customWidth="1"/>
    <col min="3" max="3" width="29" customWidth="1"/>
    <col min="4" max="4" width="28.109375" customWidth="1"/>
  </cols>
  <sheetData>
    <row r="1" spans="1:4" x14ac:dyDescent="0.3">
      <c r="A1" s="74" t="s">
        <v>102</v>
      </c>
      <c r="B1" s="75" t="s">
        <v>94</v>
      </c>
      <c r="C1" s="75" t="s">
        <v>103</v>
      </c>
      <c r="D1" s="76" t="s">
        <v>1</v>
      </c>
    </row>
    <row r="2" spans="1:4" x14ac:dyDescent="0.3">
      <c r="A2" s="5" t="s">
        <v>104</v>
      </c>
      <c r="B2" s="7">
        <v>35000</v>
      </c>
      <c r="C2" s="20">
        <v>50</v>
      </c>
      <c r="D2" s="7">
        <f>(B2*C2)</f>
        <v>1750000</v>
      </c>
    </row>
    <row r="3" spans="1:4" x14ac:dyDescent="0.3">
      <c r="A3" s="5" t="s">
        <v>105</v>
      </c>
      <c r="B3" s="7">
        <v>50000</v>
      </c>
      <c r="C3" s="20">
        <v>30</v>
      </c>
      <c r="D3" s="7">
        <f t="shared" ref="D3:D11" si="0">B3*C3</f>
        <v>1500000</v>
      </c>
    </row>
    <row r="4" spans="1:4" x14ac:dyDescent="0.3">
      <c r="A4" s="5" t="s">
        <v>106</v>
      </c>
      <c r="B4" s="7">
        <v>8000</v>
      </c>
      <c r="C4" s="20">
        <v>100</v>
      </c>
      <c r="D4" s="7">
        <f t="shared" si="0"/>
        <v>800000</v>
      </c>
    </row>
    <row r="5" spans="1:4" x14ac:dyDescent="0.3">
      <c r="A5" s="5" t="s">
        <v>107</v>
      </c>
      <c r="B5" s="7">
        <v>18000</v>
      </c>
      <c r="C5" s="6">
        <v>40</v>
      </c>
      <c r="D5" s="32">
        <f t="shared" si="0"/>
        <v>720000</v>
      </c>
    </row>
    <row r="6" spans="1:4" x14ac:dyDescent="0.3">
      <c r="A6" s="5" t="s">
        <v>108</v>
      </c>
      <c r="B6" s="7">
        <v>25000</v>
      </c>
      <c r="C6" s="78">
        <v>25</v>
      </c>
      <c r="D6" s="77">
        <f t="shared" si="0"/>
        <v>625000</v>
      </c>
    </row>
    <row r="7" spans="1:4" x14ac:dyDescent="0.3">
      <c r="A7" s="5" t="s">
        <v>109</v>
      </c>
      <c r="B7" s="7">
        <v>45000</v>
      </c>
      <c r="C7" s="78">
        <v>20</v>
      </c>
      <c r="D7" s="77">
        <f t="shared" si="0"/>
        <v>900000</v>
      </c>
    </row>
    <row r="8" spans="1:4" x14ac:dyDescent="0.3">
      <c r="A8" s="58" t="s">
        <v>110</v>
      </c>
      <c r="B8" s="7">
        <v>6000</v>
      </c>
      <c r="C8" s="78">
        <v>100</v>
      </c>
      <c r="D8" s="77">
        <f t="shared" si="0"/>
        <v>600000</v>
      </c>
    </row>
    <row r="9" spans="1:4" x14ac:dyDescent="0.3">
      <c r="A9" s="58" t="s">
        <v>111</v>
      </c>
      <c r="B9" s="7">
        <v>20000</v>
      </c>
      <c r="C9" s="78">
        <v>30</v>
      </c>
      <c r="D9" s="77">
        <f t="shared" si="0"/>
        <v>600000</v>
      </c>
    </row>
    <row r="10" spans="1:4" x14ac:dyDescent="0.3">
      <c r="A10" s="58" t="s">
        <v>112</v>
      </c>
      <c r="B10" s="7">
        <v>5000</v>
      </c>
      <c r="C10" s="78">
        <v>80</v>
      </c>
      <c r="D10" s="77">
        <f t="shared" si="0"/>
        <v>400000</v>
      </c>
    </row>
    <row r="11" spans="1:4" x14ac:dyDescent="0.3">
      <c r="A11" s="58" t="s">
        <v>113</v>
      </c>
      <c r="B11" s="7">
        <v>9000</v>
      </c>
      <c r="C11" s="78">
        <v>40</v>
      </c>
      <c r="D11" s="77">
        <f t="shared" si="0"/>
        <v>360000</v>
      </c>
    </row>
    <row r="12" spans="1:4" x14ac:dyDescent="0.3">
      <c r="B12" s="55"/>
    </row>
    <row r="14" spans="1:4" x14ac:dyDescent="0.3">
      <c r="A14" s="21" t="s">
        <v>2</v>
      </c>
      <c r="B14" s="22">
        <f>SUM(D2:D11)</f>
        <v>8255000</v>
      </c>
    </row>
    <row r="15" spans="1:4" x14ac:dyDescent="0.3">
      <c r="C15" s="4"/>
      <c r="D15" s="4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2:L17"/>
  <sheetViews>
    <sheetView workbookViewId="0">
      <selection activeCell="C18" sqref="C18"/>
    </sheetView>
  </sheetViews>
  <sheetFormatPr baseColWidth="10" defaultColWidth="9.21875" defaultRowHeight="14.4" x14ac:dyDescent="0.3"/>
  <cols>
    <col min="1" max="1" width="28.5546875" bestFit="1" customWidth="1"/>
    <col min="2" max="2" width="22.21875" customWidth="1"/>
    <col min="3" max="3" width="11.21875" customWidth="1"/>
    <col min="4" max="4" width="10.77734375" customWidth="1"/>
    <col min="5" max="5" width="11.21875" customWidth="1"/>
    <col min="11" max="11" width="9.5546875" bestFit="1" customWidth="1"/>
  </cols>
  <sheetData>
    <row r="2" spans="1:12" x14ac:dyDescent="0.3">
      <c r="A2" s="85" t="s">
        <v>28</v>
      </c>
      <c r="B2" s="85"/>
      <c r="C2" s="4"/>
      <c r="D2" s="4"/>
      <c r="E2" s="4"/>
      <c r="F2" s="4"/>
      <c r="G2" s="4"/>
      <c r="H2" s="4"/>
      <c r="I2" s="4"/>
    </row>
    <row r="3" spans="1:12" x14ac:dyDescent="0.3">
      <c r="A3" s="4"/>
      <c r="B3" s="4"/>
      <c r="C3" s="4"/>
      <c r="D3" s="4"/>
      <c r="E3" s="4"/>
      <c r="F3" s="4"/>
      <c r="G3" s="4"/>
      <c r="H3" s="4"/>
      <c r="I3" s="4"/>
    </row>
    <row r="4" spans="1:12" x14ac:dyDescent="0.3">
      <c r="A4" s="4"/>
      <c r="B4" s="4"/>
      <c r="C4" s="4"/>
      <c r="D4" s="4"/>
      <c r="E4" s="4"/>
      <c r="F4" s="4"/>
      <c r="G4" s="4"/>
      <c r="H4" s="4"/>
      <c r="I4" s="4"/>
    </row>
    <row r="5" spans="1:12" x14ac:dyDescent="0.3">
      <c r="A5" s="23" t="s">
        <v>21</v>
      </c>
      <c r="B5" s="24">
        <f>+'Proyección Ingresos'!B14</f>
        <v>8255000</v>
      </c>
      <c r="C5" s="4"/>
      <c r="D5" s="4"/>
      <c r="E5" s="4"/>
      <c r="F5" s="4"/>
      <c r="G5" s="4"/>
      <c r="H5" s="4"/>
      <c r="I5" s="4"/>
    </row>
    <row r="6" spans="1:12" x14ac:dyDescent="0.3">
      <c r="A6" s="5" t="s">
        <v>23</v>
      </c>
      <c r="B6" s="7">
        <f>+'Costos Fijos'!B12</f>
        <v>4453500</v>
      </c>
      <c r="C6" s="4"/>
      <c r="D6" s="4"/>
      <c r="E6" s="4"/>
      <c r="F6" s="4"/>
      <c r="G6" s="4"/>
      <c r="H6" s="4"/>
      <c r="I6" s="4"/>
    </row>
    <row r="7" spans="1:12" x14ac:dyDescent="0.3">
      <c r="A7" s="5" t="s">
        <v>22</v>
      </c>
      <c r="B7" s="7">
        <f>+'Costos Variables'!B11</f>
        <v>3200000</v>
      </c>
      <c r="C7" s="4"/>
      <c r="D7" s="4"/>
      <c r="E7" s="4"/>
      <c r="F7" s="4"/>
      <c r="G7" s="4"/>
      <c r="H7" s="4"/>
      <c r="I7" s="4"/>
    </row>
    <row r="8" spans="1:12" x14ac:dyDescent="0.3">
      <c r="A8" s="5" t="s">
        <v>24</v>
      </c>
      <c r="B8" s="24">
        <f>B6+B7</f>
        <v>7653500</v>
      </c>
      <c r="C8" s="4"/>
      <c r="D8" s="4"/>
      <c r="E8" s="4"/>
      <c r="F8" s="4"/>
      <c r="G8" s="4"/>
      <c r="H8" s="4"/>
      <c r="I8" s="4"/>
    </row>
    <row r="9" spans="1:12" x14ac:dyDescent="0.3">
      <c r="A9" s="5" t="s">
        <v>25</v>
      </c>
      <c r="B9" s="7">
        <f>B5-B8</f>
        <v>601500</v>
      </c>
      <c r="C9" s="4"/>
      <c r="D9" s="4"/>
      <c r="E9" s="4"/>
      <c r="F9" s="4"/>
      <c r="G9" s="4"/>
      <c r="H9" s="4"/>
      <c r="I9" s="4"/>
    </row>
    <row r="10" spans="1:12" x14ac:dyDescent="0.3">
      <c r="A10" s="5" t="s">
        <v>26</v>
      </c>
      <c r="B10" s="30">
        <v>299657</v>
      </c>
      <c r="C10" s="25" t="s">
        <v>42</v>
      </c>
      <c r="D10" s="25"/>
      <c r="E10" s="25"/>
      <c r="F10" s="25"/>
      <c r="G10" s="25"/>
      <c r="H10" s="25"/>
      <c r="I10" s="25"/>
    </row>
    <row r="11" spans="1:12" x14ac:dyDescent="0.3">
      <c r="A11" s="5" t="s">
        <v>27</v>
      </c>
      <c r="B11" s="26">
        <f>B9-B10</f>
        <v>301843</v>
      </c>
      <c r="C11" s="86" t="s">
        <v>43</v>
      </c>
      <c r="D11" s="86"/>
      <c r="E11" s="86"/>
      <c r="F11" s="86"/>
      <c r="G11" s="86"/>
      <c r="H11" s="86"/>
      <c r="I11" s="86"/>
    </row>
    <row r="12" spans="1:12" x14ac:dyDescent="0.3">
      <c r="A12" s="4"/>
      <c r="B12" s="4"/>
      <c r="C12" s="4"/>
      <c r="D12" s="4"/>
      <c r="E12" s="4"/>
      <c r="F12" s="4"/>
      <c r="G12" s="4"/>
      <c r="H12" s="4"/>
      <c r="I12" s="4"/>
    </row>
    <row r="13" spans="1:12" x14ac:dyDescent="0.3">
      <c r="A13" s="4"/>
      <c r="B13" s="4"/>
      <c r="C13" s="4"/>
      <c r="D13" s="4"/>
      <c r="E13" s="4"/>
      <c r="F13" s="4"/>
      <c r="G13" s="4"/>
      <c r="H13" s="4"/>
      <c r="I13" s="4"/>
    </row>
    <row r="14" spans="1:12" x14ac:dyDescent="0.3">
      <c r="A14" s="4"/>
      <c r="B14" s="4"/>
      <c r="C14" s="4"/>
      <c r="D14" s="4"/>
      <c r="E14" s="4"/>
      <c r="F14" s="4"/>
      <c r="G14" s="4"/>
      <c r="H14" s="4"/>
      <c r="I14" s="4"/>
      <c r="J14" s="79"/>
      <c r="K14" s="79"/>
      <c r="L14" s="79"/>
    </row>
    <row r="15" spans="1:12" x14ac:dyDescent="0.3">
      <c r="A15" s="4" t="s">
        <v>29</v>
      </c>
      <c r="B15" s="27">
        <f>B8</f>
        <v>7653500</v>
      </c>
      <c r="C15" s="4"/>
      <c r="D15" s="4"/>
      <c r="E15" s="4"/>
      <c r="F15" s="4"/>
      <c r="G15" s="4"/>
      <c r="H15" s="4"/>
      <c r="I15" s="4"/>
      <c r="J15" s="79"/>
      <c r="K15" s="79"/>
    </row>
    <row r="16" spans="1:12" x14ac:dyDescent="0.3">
      <c r="A16" s="4" t="s">
        <v>30</v>
      </c>
      <c r="B16" s="27">
        <f>B5</f>
        <v>8255000</v>
      </c>
      <c r="C16" s="4"/>
      <c r="D16" s="4"/>
      <c r="E16" s="4"/>
      <c r="F16" s="4"/>
      <c r="G16" s="4"/>
      <c r="H16" s="4"/>
      <c r="I16" s="4"/>
    </row>
    <row r="17" spans="1:9" x14ac:dyDescent="0.3">
      <c r="A17" s="28" t="s">
        <v>28</v>
      </c>
      <c r="B17" s="29">
        <f>B15/B16</f>
        <v>0.92713506965475467</v>
      </c>
      <c r="C17" s="4"/>
      <c r="D17" s="4"/>
      <c r="E17" s="4"/>
      <c r="F17" s="4"/>
      <c r="G17" s="4"/>
      <c r="H17" s="4"/>
      <c r="I17" s="4"/>
    </row>
  </sheetData>
  <mergeCells count="2">
    <mergeCell ref="A2:B2"/>
    <mergeCell ref="C11:I11"/>
  </mergeCells>
  <pageMargins left="0.75" right="0.75" top="1" bottom="1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0.39997558519241921"/>
  </sheetPr>
  <dimension ref="A2:D7"/>
  <sheetViews>
    <sheetView workbookViewId="0">
      <selection activeCell="D7" sqref="D7"/>
    </sheetView>
  </sheetViews>
  <sheetFormatPr baseColWidth="10" defaultRowHeight="14.4" x14ac:dyDescent="0.3"/>
  <cols>
    <col min="1" max="1" width="20.44140625" customWidth="1"/>
    <col min="2" max="2" width="18.109375" customWidth="1"/>
    <col min="3" max="3" width="14" customWidth="1"/>
    <col min="4" max="4" width="14.77734375" customWidth="1"/>
  </cols>
  <sheetData>
    <row r="2" spans="1:4" x14ac:dyDescent="0.3">
      <c r="A2" s="31" t="s">
        <v>9</v>
      </c>
      <c r="B2" s="31" t="s">
        <v>63</v>
      </c>
      <c r="C2" s="31" t="s">
        <v>64</v>
      </c>
      <c r="D2" s="31" t="s">
        <v>65</v>
      </c>
    </row>
    <row r="3" spans="1:4" x14ac:dyDescent="0.3">
      <c r="A3" s="5" t="s">
        <v>4</v>
      </c>
      <c r="B3" s="7">
        <v>3720000</v>
      </c>
      <c r="C3" s="32">
        <v>2945000</v>
      </c>
      <c r="D3" s="32">
        <v>4030000</v>
      </c>
    </row>
    <row r="4" spans="1:4" x14ac:dyDescent="0.3">
      <c r="A4" s="5" t="s">
        <v>10</v>
      </c>
      <c r="B4" s="7">
        <v>1380000</v>
      </c>
      <c r="C4" s="32">
        <v>1250000</v>
      </c>
      <c r="D4" s="32">
        <v>1490000</v>
      </c>
    </row>
    <row r="5" spans="1:4" x14ac:dyDescent="0.3">
      <c r="A5" s="5" t="s">
        <v>11</v>
      </c>
      <c r="B5" s="7">
        <f>(B3-B4)</f>
        <v>2340000</v>
      </c>
      <c r="C5" s="7">
        <f>(C3-C4)</f>
        <v>1695000</v>
      </c>
      <c r="D5" s="7">
        <f>(D3-D4)</f>
        <v>2540000</v>
      </c>
    </row>
    <row r="6" spans="1:4" x14ac:dyDescent="0.3">
      <c r="A6" s="5" t="s">
        <v>12</v>
      </c>
      <c r="B6" s="7">
        <v>1790000</v>
      </c>
      <c r="C6" s="32">
        <v>1520000</v>
      </c>
      <c r="D6" s="32">
        <v>1910000</v>
      </c>
    </row>
    <row r="7" spans="1:4" x14ac:dyDescent="0.3">
      <c r="A7" s="5" t="s">
        <v>13</v>
      </c>
      <c r="B7" s="7">
        <f>(B3-B4-B6)</f>
        <v>550000</v>
      </c>
      <c r="C7" s="7">
        <f>(C3-C4-C6)</f>
        <v>175000</v>
      </c>
      <c r="D7" s="7">
        <f>(D3-D4-D6)</f>
        <v>630000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-0.249977111117893"/>
  </sheetPr>
  <dimension ref="A1:R26"/>
  <sheetViews>
    <sheetView zoomScale="91" workbookViewId="0">
      <selection activeCell="A12" sqref="A12:D12"/>
    </sheetView>
  </sheetViews>
  <sheetFormatPr baseColWidth="10" defaultColWidth="9.21875" defaultRowHeight="14.4" x14ac:dyDescent="0.3"/>
  <cols>
    <col min="1" max="1" width="21.88671875" customWidth="1"/>
    <col min="2" max="2" width="20.21875" customWidth="1"/>
    <col min="3" max="3" width="13.88671875" customWidth="1"/>
    <col min="4" max="4" width="16.5546875" customWidth="1"/>
    <col min="5" max="5" width="14.5546875" bestFit="1" customWidth="1"/>
  </cols>
  <sheetData>
    <row r="1" spans="1:1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3">
      <c r="A2" s="38" t="s">
        <v>66</v>
      </c>
      <c r="B2" s="38" t="s">
        <v>44</v>
      </c>
      <c r="C2" s="38" t="s">
        <v>45</v>
      </c>
      <c r="D2" s="38" t="s">
        <v>46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3">
      <c r="A3" s="5" t="s">
        <v>3</v>
      </c>
      <c r="B3" s="7">
        <v>500000</v>
      </c>
      <c r="C3" s="7">
        <v>1050000</v>
      </c>
      <c r="D3" s="7">
        <v>1225000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5" thickBot="1" x14ac:dyDescent="0.35">
      <c r="A4" s="33" t="s">
        <v>4</v>
      </c>
      <c r="B4" s="34">
        <v>3720000</v>
      </c>
      <c r="C4" s="34">
        <v>2945000</v>
      </c>
      <c r="D4" s="34">
        <v>4030000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5" thickBot="1" x14ac:dyDescent="0.35">
      <c r="A5" s="39" t="s">
        <v>0</v>
      </c>
      <c r="B5" s="40">
        <f>(B3+B4)</f>
        <v>4220000</v>
      </c>
      <c r="C5" s="40">
        <f>(C3+C4)</f>
        <v>3995000</v>
      </c>
      <c r="D5" s="41">
        <f>(D3+D4)</f>
        <v>5255000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3">
      <c r="A6" s="35" t="s">
        <v>5</v>
      </c>
      <c r="B6" s="36">
        <v>1380000</v>
      </c>
      <c r="C6" s="36">
        <v>1250000</v>
      </c>
      <c r="D6" s="36">
        <v>1490000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5" thickBot="1" x14ac:dyDescent="0.35">
      <c r="A7" s="33" t="s">
        <v>6</v>
      </c>
      <c r="B7" s="34">
        <v>1790000</v>
      </c>
      <c r="C7" s="34">
        <v>1520000</v>
      </c>
      <c r="D7" s="34">
        <v>1910000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4.25" customHeight="1" thickBot="1" x14ac:dyDescent="0.35">
      <c r="A8" s="42" t="s">
        <v>7</v>
      </c>
      <c r="B8" s="43">
        <f>(B6+B7)</f>
        <v>3170000</v>
      </c>
      <c r="C8" s="43">
        <f>C6+C7</f>
        <v>2770000</v>
      </c>
      <c r="D8" s="44">
        <f>D6+D7</f>
        <v>3400000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15" thickTop="1" x14ac:dyDescent="0.3">
      <c r="A9" s="45" t="s">
        <v>8</v>
      </c>
      <c r="B9" s="46">
        <f>B5-B8</f>
        <v>1050000</v>
      </c>
      <c r="C9" s="46">
        <f>C5-C8</f>
        <v>1225000</v>
      </c>
      <c r="D9" s="46">
        <f>D5-D8</f>
        <v>1855000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3">
      <c r="A10" s="37"/>
      <c r="B10" s="37"/>
      <c r="C10" s="37"/>
      <c r="D10" s="37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3">
      <c r="A11" s="37"/>
      <c r="B11" s="37"/>
      <c r="C11" s="37"/>
      <c r="D11" s="37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3">
      <c r="A12" s="88" t="s">
        <v>19</v>
      </c>
      <c r="B12" s="89"/>
      <c r="C12" s="89"/>
      <c r="D12" s="90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3">
      <c r="A13" s="87" t="s">
        <v>47</v>
      </c>
      <c r="B13" s="87"/>
      <c r="C13" s="87"/>
      <c r="D13" s="87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3">
      <c r="A14" s="87"/>
      <c r="B14" s="87"/>
      <c r="C14" s="87"/>
      <c r="D14" s="87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3">
      <c r="A15" s="87"/>
      <c r="B15" s="87"/>
      <c r="C15" s="87"/>
      <c r="D15" s="87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3">
      <c r="A16" s="87"/>
      <c r="B16" s="87"/>
      <c r="C16" s="87"/>
      <c r="D16" s="87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</sheetData>
  <mergeCells count="2">
    <mergeCell ref="A13:D16"/>
    <mergeCell ref="A12:D1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-0.249977111117893"/>
  </sheetPr>
  <dimension ref="A1:H15"/>
  <sheetViews>
    <sheetView workbookViewId="0">
      <selection activeCell="A8" sqref="A8:E8"/>
    </sheetView>
  </sheetViews>
  <sheetFormatPr baseColWidth="10" defaultRowHeight="14.4" x14ac:dyDescent="0.3"/>
  <cols>
    <col min="1" max="1" width="32.77734375" customWidth="1"/>
    <col min="2" max="2" width="15.21875" customWidth="1"/>
    <col min="3" max="3" width="13.88671875" customWidth="1"/>
    <col min="4" max="4" width="43.6640625" customWidth="1"/>
  </cols>
  <sheetData>
    <row r="1" spans="1:8" x14ac:dyDescent="0.3">
      <c r="A1" s="47" t="s">
        <v>67</v>
      </c>
      <c r="B1" s="47" t="s">
        <v>68</v>
      </c>
      <c r="C1" s="47" t="s">
        <v>69</v>
      </c>
      <c r="D1" s="47" t="s">
        <v>70</v>
      </c>
      <c r="E1" s="4"/>
      <c r="F1" s="4"/>
    </row>
    <row r="2" spans="1:8" x14ac:dyDescent="0.3">
      <c r="A2" s="5" t="s">
        <v>14</v>
      </c>
      <c r="B2" s="5">
        <f>1855000/12500000*100</f>
        <v>14.84</v>
      </c>
      <c r="C2" s="48">
        <v>0.373</v>
      </c>
      <c r="D2" s="5" t="s">
        <v>48</v>
      </c>
      <c r="E2" s="4"/>
      <c r="F2" s="4"/>
    </row>
    <row r="3" spans="1:8" x14ac:dyDescent="0.3">
      <c r="A3" s="5" t="s">
        <v>15</v>
      </c>
      <c r="B3" s="5">
        <f>1855000/13470000*100</f>
        <v>13.771343726800298</v>
      </c>
      <c r="C3" s="49">
        <v>0.28999999999999998</v>
      </c>
      <c r="D3" s="5" t="s">
        <v>16</v>
      </c>
      <c r="E3" s="4"/>
      <c r="F3" s="4"/>
    </row>
    <row r="4" spans="1:8" x14ac:dyDescent="0.3">
      <c r="A4" s="5" t="s">
        <v>17</v>
      </c>
      <c r="B4" s="5">
        <f>12500000/1355000</f>
        <v>9.2250922509225095</v>
      </c>
      <c r="C4" s="50" t="s">
        <v>20</v>
      </c>
      <c r="D4" s="5" t="s">
        <v>18</v>
      </c>
      <c r="E4" s="4"/>
      <c r="F4" s="4"/>
    </row>
    <row r="5" spans="1:8" x14ac:dyDescent="0.3">
      <c r="A5" s="4"/>
      <c r="B5" s="4"/>
      <c r="C5" s="4"/>
      <c r="D5" s="4"/>
      <c r="E5" s="4"/>
      <c r="F5" s="4"/>
    </row>
    <row r="6" spans="1:8" x14ac:dyDescent="0.3">
      <c r="A6" s="4"/>
      <c r="B6" s="4"/>
      <c r="C6" s="4"/>
      <c r="D6" s="4"/>
      <c r="E6" s="4"/>
      <c r="F6" s="4"/>
    </row>
    <row r="7" spans="1:8" x14ac:dyDescent="0.3">
      <c r="A7" s="28" t="s">
        <v>51</v>
      </c>
      <c r="B7" s="4"/>
      <c r="C7" s="4"/>
      <c r="D7" s="4"/>
      <c r="E7" s="4"/>
      <c r="F7" s="4"/>
      <c r="H7" s="3"/>
    </row>
    <row r="8" spans="1:8" x14ac:dyDescent="0.3">
      <c r="A8" s="91" t="s">
        <v>49</v>
      </c>
      <c r="B8" s="91"/>
      <c r="C8" s="91"/>
      <c r="D8" s="91"/>
      <c r="E8" s="91"/>
      <c r="F8" s="4"/>
      <c r="H8" s="3"/>
    </row>
    <row r="9" spans="1:8" x14ac:dyDescent="0.3">
      <c r="A9" s="4"/>
      <c r="B9" s="4"/>
      <c r="C9" s="4"/>
      <c r="D9" s="4"/>
      <c r="E9" s="4"/>
      <c r="F9" s="4"/>
    </row>
    <row r="10" spans="1:8" x14ac:dyDescent="0.3">
      <c r="A10" s="28" t="s">
        <v>52</v>
      </c>
      <c r="B10" s="4"/>
      <c r="C10" s="4"/>
      <c r="D10" s="4"/>
      <c r="E10" s="4"/>
      <c r="F10" s="4"/>
    </row>
    <row r="11" spans="1:8" x14ac:dyDescent="0.3">
      <c r="A11" s="91" t="s">
        <v>50</v>
      </c>
      <c r="B11" s="91"/>
      <c r="C11" s="91"/>
      <c r="D11" s="91"/>
      <c r="E11" s="91"/>
      <c r="F11" s="4"/>
    </row>
    <row r="12" spans="1:8" x14ac:dyDescent="0.3">
      <c r="A12" s="4"/>
      <c r="B12" s="4"/>
      <c r="C12" s="4"/>
      <c r="D12" s="4"/>
      <c r="E12" s="4"/>
      <c r="F12" s="4"/>
    </row>
    <row r="13" spans="1:8" x14ac:dyDescent="0.3">
      <c r="A13" s="92" t="s">
        <v>54</v>
      </c>
      <c r="B13" s="92"/>
      <c r="C13" s="92"/>
      <c r="D13" s="92"/>
      <c r="E13" s="92"/>
      <c r="F13" s="4"/>
    </row>
    <row r="14" spans="1:8" x14ac:dyDescent="0.3">
      <c r="A14" s="93" t="s">
        <v>53</v>
      </c>
      <c r="B14" s="93"/>
      <c r="C14" s="93"/>
      <c r="D14" s="93"/>
      <c r="E14" s="93"/>
      <c r="F14" s="93"/>
    </row>
    <row r="15" spans="1:8" x14ac:dyDescent="0.3">
      <c r="A15" s="4"/>
      <c r="B15" s="4"/>
      <c r="C15" s="4"/>
      <c r="D15" s="4"/>
      <c r="E15" s="4"/>
      <c r="F15" s="4"/>
    </row>
  </sheetData>
  <mergeCells count="4">
    <mergeCell ref="A8:E8"/>
    <mergeCell ref="A11:E11"/>
    <mergeCell ref="A13:E13"/>
    <mergeCell ref="A14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Portada</vt:lpstr>
      <vt:lpstr>Inversión Inicial</vt:lpstr>
      <vt:lpstr>Costos Fijos</vt:lpstr>
      <vt:lpstr>Costos Variables</vt:lpstr>
      <vt:lpstr>Proyección Ingresos</vt:lpstr>
      <vt:lpstr>Punto de Equilibrio</vt:lpstr>
      <vt:lpstr>Estado de Resultados</vt:lpstr>
      <vt:lpstr>Flujo de Caja</vt:lpstr>
      <vt:lpstr>Indicadores de Rentabilidad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Alejandra Peraza</cp:lastModifiedBy>
  <dcterms:created xsi:type="dcterms:W3CDTF">2025-07-18T22:24:15Z</dcterms:created>
  <dcterms:modified xsi:type="dcterms:W3CDTF">2026-06-29T00:17:08Z</dcterms:modified>
</cp:coreProperties>
</file>